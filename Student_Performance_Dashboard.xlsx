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20A617-B6F4-4E34-BCC9-6C239BF90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Performance" sheetId="1" r:id="rId1"/>
    <sheet name="Summary Data" sheetId="2" r:id="rId2"/>
    <sheet name="Dashboard" sheetId="3" r:id="rId3"/>
    <sheet name="Instructions" sheetId="4" r:id="rId4"/>
    <sheet name="Task 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6" i="2"/>
  <c r="B5" i="2"/>
  <c r="B4" i="2"/>
  <c r="B3" i="2"/>
  <c r="B2" i="2"/>
  <c r="K11" i="1"/>
  <c r="H11" i="1"/>
  <c r="I11" i="1" s="1"/>
  <c r="J11" i="1" s="1"/>
  <c r="K10" i="1"/>
  <c r="H10" i="1"/>
  <c r="I10" i="1" s="1"/>
  <c r="J10" i="1" s="1"/>
  <c r="K9" i="1"/>
  <c r="H9" i="1"/>
  <c r="I9" i="1" s="1"/>
  <c r="J9" i="1" s="1"/>
  <c r="K8" i="1"/>
  <c r="H8" i="1"/>
  <c r="I8" i="1" s="1"/>
  <c r="J8" i="1" s="1"/>
  <c r="K7" i="1"/>
  <c r="H7" i="1"/>
  <c r="I7" i="1" s="1"/>
  <c r="J7" i="1" s="1"/>
  <c r="K6" i="1"/>
  <c r="H6" i="1"/>
  <c r="I6" i="1" s="1"/>
  <c r="J6" i="1" s="1"/>
  <c r="K5" i="1"/>
  <c r="H5" i="1"/>
  <c r="I5" i="1" s="1"/>
  <c r="J5" i="1" s="1"/>
  <c r="K4" i="1"/>
  <c r="H4" i="1"/>
  <c r="I4" i="1" s="1"/>
  <c r="J4" i="1" s="1"/>
  <c r="K3" i="1"/>
  <c r="H3" i="1"/>
  <c r="I3" i="1" s="1"/>
  <c r="J3" i="1" s="1"/>
  <c r="K2" i="1"/>
  <c r="H2" i="1"/>
  <c r="I2" i="1" s="1"/>
  <c r="H5" i="3" l="1"/>
  <c r="E5" i="3"/>
  <c r="J2" i="1"/>
  <c r="B12" i="2" l="1"/>
  <c r="B11" i="2"/>
  <c r="B10" i="2"/>
  <c r="B9" i="2"/>
  <c r="B8" i="2"/>
</calcChain>
</file>

<file path=xl/sharedStrings.xml><?xml version="1.0" encoding="utf-8"?>
<sst xmlns="http://schemas.openxmlformats.org/spreadsheetml/2006/main" count="89" uniqueCount="73">
  <si>
    <t>Student ID</t>
  </si>
  <si>
    <t>Student Name</t>
  </si>
  <si>
    <t>Total Marks</t>
  </si>
  <si>
    <t>Percentage</t>
  </si>
  <si>
    <t>Grade</t>
  </si>
  <si>
    <t>Result</t>
  </si>
  <si>
    <t>Subject</t>
  </si>
  <si>
    <t>Average Marks</t>
  </si>
  <si>
    <t>Count</t>
  </si>
  <si>
    <t>A+</t>
  </si>
  <si>
    <t>A</t>
  </si>
  <si>
    <t>B</t>
  </si>
  <si>
    <t>C</t>
  </si>
  <si>
    <t>D</t>
  </si>
  <si>
    <t>Student Performance Executive Dashboard</t>
  </si>
  <si>
    <t>Overview of student marks, subject averages, and grade distributions.</t>
  </si>
  <si>
    <t>Total Students</t>
  </si>
  <si>
    <t>Class Average</t>
  </si>
  <si>
    <t>Pass Percentage</t>
  </si>
  <si>
    <t>Workbook Instructions &amp; Guidelines</t>
  </si>
  <si>
    <t>Follow these steps to import, clean, analyze, and maintain the student performance workbook.</t>
  </si>
  <si>
    <t>Step</t>
  </si>
  <si>
    <t>Description</t>
  </si>
  <si>
    <t>Step 1: Data Import</t>
  </si>
  <si>
    <t>Export raw student records from the school SIS system in CSV format. Ensure columns match the Student Performance tab headers (ID, Name, Subject Marks).</t>
  </si>
  <si>
    <t>Step 2: Data Cleaning</t>
  </si>
  <si>
    <t>Check for missing marks, trailing spaces in student names, and ensure all IDs are unique 3-digit integers. Remove any duplicate entries.</t>
  </si>
  <si>
    <t>Step 3: Analysis &amp; Formulas</t>
  </si>
  <si>
    <t>Total marks, percentages, grades, and pass/fail statuses are automated using formulas (SUM, AVERAGE, IF). Do not hardcode calculated columns.</t>
  </si>
  <si>
    <t>Step 4: Dashboard Monitoring</t>
  </si>
  <si>
    <t>Review the Dashboard tab regularly to monitor class performance KPIs, subject averages, and grade distributions. Charts update dynamically when marks change.</t>
  </si>
  <si>
    <t>Step 5: Reporting &amp; Export</t>
  </si>
  <si>
    <t>To share reports with administration, export individual tabs to PDF or print the Dashboard tab directly in landscape orientation.</t>
  </si>
  <si>
    <t>Project Task Checklist</t>
  </si>
  <si>
    <t>Track the 7 core project tasks, time estimates, weightages, and completion statuses.</t>
  </si>
  <si>
    <t>Task ID</t>
  </si>
  <si>
    <t>Task Description</t>
  </si>
  <si>
    <t>Time Estimate</t>
  </si>
  <si>
    <t>Weightage</t>
  </si>
  <si>
    <t>Status</t>
  </si>
  <si>
    <t>Requirement Analysis &amp; Scope Definition</t>
  </si>
  <si>
    <t>3 Days</t>
  </si>
  <si>
    <t>10%</t>
  </si>
  <si>
    <t>Completed</t>
  </si>
  <si>
    <t>Student Data Collection &amp; Formatting</t>
  </si>
  <si>
    <t>4 Days</t>
  </si>
  <si>
    <t>15%</t>
  </si>
  <si>
    <t>Formula Implementation (Grades &amp; Totals)</t>
  </si>
  <si>
    <t>2 Days</t>
  </si>
  <si>
    <t>Dashboard KPI &amp; Chart Integration</t>
  </si>
  <si>
    <t>20%</t>
  </si>
  <si>
    <t>In Progress</t>
  </si>
  <si>
    <t>Instruction &amp; Documentation Writing</t>
  </si>
  <si>
    <t>Not Started</t>
  </si>
  <si>
    <t>Quality Assurance &amp; Formula Testing</t>
  </si>
  <si>
    <t>Final Stakeholder Review &amp; Handover</t>
  </si>
  <si>
    <t>1 Day</t>
  </si>
  <si>
    <t xml:space="preserve">jay prajapati </t>
  </si>
  <si>
    <t xml:space="preserve">priyanka padshla </t>
  </si>
  <si>
    <t xml:space="preserve">janvi kachadiya </t>
  </si>
  <si>
    <t xml:space="preserve">hasti andrapriya </t>
  </si>
  <si>
    <t xml:space="preserve">prince patel </t>
  </si>
  <si>
    <t xml:space="preserve">meera vekariya </t>
  </si>
  <si>
    <t xml:space="preserve">suraj bhoya </t>
  </si>
  <si>
    <t xml:space="preserve">neshvi vaghasiya </t>
  </si>
  <si>
    <t xml:space="preserve">komal prajapati </t>
  </si>
  <si>
    <t>lucky ramoshi</t>
  </si>
  <si>
    <t>php</t>
  </si>
  <si>
    <t>Excel</t>
  </si>
  <si>
    <t>c+</t>
  </si>
  <si>
    <t>Sql</t>
  </si>
  <si>
    <t>case study</t>
  </si>
  <si>
    <t xml:space="preserve">Sql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</si>
</sst>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2B4C7E"/>
      <name val="Calibri"/>
    </font>
    <font>
      <i/>
      <sz val="11"/>
      <color rgb="FF555555"/>
      <name val="Calibri"/>
    </font>
    <font>
      <b/>
      <sz val="10"/>
      <color rgb="FF555555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9FAFC"/>
        <bgColor rgb="FFF9FAFC"/>
      </patternFill>
    </fill>
    <fill>
      <patternFill patternType="solid">
        <fgColor rgb="FFF4F6F9"/>
        <bgColor rgb="FFF4F6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Marks by Subject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Data'!$B$1</c:f>
              <c:strCache>
                <c:ptCount val="1"/>
                <c:pt idx="0">
                  <c:v>Average Marks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Data'!$A$2:$A$6</c:f>
              <c:strCache>
                <c:ptCount val="5"/>
                <c:pt idx="0">
                  <c:v>php</c:v>
                </c:pt>
                <c:pt idx="1">
                  <c:v>Excel</c:v>
                </c:pt>
                <c:pt idx="2">
                  <c:v>c+</c:v>
                </c:pt>
                <c:pt idx="3">
                  <c:v>Sql </c:v>
                </c:pt>
                <c:pt idx="4">
                  <c:v>case study</c:v>
                </c:pt>
              </c:strCache>
            </c:strRef>
          </c:cat>
          <c:val>
            <c:numRef>
              <c:f>'Summary Data'!$B$2:$B$6</c:f>
              <c:numCache>
                <c:formatCode>General</c:formatCode>
                <c:ptCount val="5"/>
                <c:pt idx="0">
                  <c:v>81.5</c:v>
                </c:pt>
                <c:pt idx="1">
                  <c:v>81</c:v>
                </c:pt>
                <c:pt idx="2">
                  <c:v>79.3</c:v>
                </c:pt>
                <c:pt idx="3">
                  <c:v>81.7</c:v>
                </c:pt>
                <c:pt idx="4">
                  <c:v>83.2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9-4E3B-9507-6BAB676E1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Marks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Grade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Data'!$B$7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Data'!$A$8:$A$12</c:f>
              <c:strCache>
                <c:ptCount val="5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'Summary Data'!$B$8:$B$12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1-4115-89AF-00C76CF64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" sqref="G1"/>
    </sheetView>
  </sheetViews>
  <sheetFormatPr defaultRowHeight="14.4"/>
  <cols>
    <col min="1" max="1" width="12" customWidth="1"/>
    <col min="2" max="2" width="22" customWidth="1"/>
    <col min="3" max="7" width="12" customWidth="1"/>
    <col min="8" max="8" width="17" customWidth="1"/>
    <col min="9" max="9" width="12" customWidth="1"/>
    <col min="10" max="10" width="77" customWidth="1"/>
    <col min="11" max="11" width="39" customWidth="1"/>
  </cols>
  <sheetData>
    <row r="1" spans="1:11" ht="28.05" customHeight="1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ht="19.95" customHeight="1">
      <c r="A2" s="2">
        <v>101</v>
      </c>
      <c r="B2" s="3" t="s">
        <v>57</v>
      </c>
      <c r="C2" s="4">
        <v>85</v>
      </c>
      <c r="D2" s="4">
        <v>90</v>
      </c>
      <c r="E2" s="4">
        <v>78</v>
      </c>
      <c r="F2" s="4">
        <v>88</v>
      </c>
      <c r="G2" s="4">
        <v>92</v>
      </c>
      <c r="H2" s="4">
        <f t="shared" ref="H2:H11" si="0">SUM(C2:G2)</f>
        <v>433</v>
      </c>
      <c r="I2" s="5">
        <f t="shared" ref="I2:I11" si="1">H2/500</f>
        <v>0.86599999999999999</v>
      </c>
      <c r="J2" s="2" t="str">
        <f t="shared" ref="J2:J11" si="2">IF(I2&gt;=0.9,"A+",IF(I2&gt;=0.8,"A",IF(I2&gt;=0.7,"B",IF(I2&gt;=0.6,"C","D"))))</f>
        <v>A</v>
      </c>
      <c r="K2" s="2" t="str">
        <f t="shared" ref="K2:K11" si="3">IF(MIN(C2:G2)&gt;=40,"Pass","Fail")</f>
        <v>Pass</v>
      </c>
    </row>
    <row r="3" spans="1:11" ht="19.95" customHeight="1">
      <c r="A3" s="6">
        <v>102</v>
      </c>
      <c r="B3" s="7" t="s">
        <v>58</v>
      </c>
      <c r="C3" s="8">
        <v>92</v>
      </c>
      <c r="D3" s="8">
        <v>95</v>
      </c>
      <c r="E3" s="8">
        <v>88</v>
      </c>
      <c r="F3" s="8">
        <v>94</v>
      </c>
      <c r="G3" s="8">
        <v>90</v>
      </c>
      <c r="H3" s="8">
        <f t="shared" si="0"/>
        <v>459</v>
      </c>
      <c r="I3" s="9">
        <f t="shared" si="1"/>
        <v>0.91800000000000004</v>
      </c>
      <c r="J3" s="6" t="str">
        <f t="shared" si="2"/>
        <v>A+</v>
      </c>
      <c r="K3" s="6" t="str">
        <f t="shared" si="3"/>
        <v>Pass</v>
      </c>
    </row>
    <row r="4" spans="1:11" ht="19.95" customHeight="1">
      <c r="A4" s="2">
        <v>103</v>
      </c>
      <c r="B4" s="3" t="s">
        <v>59</v>
      </c>
      <c r="C4" s="4">
        <v>70</v>
      </c>
      <c r="D4" s="4">
        <v>65</v>
      </c>
      <c r="E4" s="4">
        <v>72</v>
      </c>
      <c r="F4" s="4">
        <v>68</v>
      </c>
      <c r="G4" s="4">
        <v>75</v>
      </c>
      <c r="H4" s="4">
        <f t="shared" si="0"/>
        <v>350</v>
      </c>
      <c r="I4" s="5">
        <f t="shared" si="1"/>
        <v>0.7</v>
      </c>
      <c r="J4" s="2" t="str">
        <f t="shared" si="2"/>
        <v>B</v>
      </c>
      <c r="K4" s="2" t="str">
        <f t="shared" si="3"/>
        <v>Pass</v>
      </c>
    </row>
    <row r="5" spans="1:11" ht="19.95" customHeight="1">
      <c r="A5" s="6">
        <v>104</v>
      </c>
      <c r="B5" s="7" t="s">
        <v>60</v>
      </c>
      <c r="C5" s="8">
        <v>88</v>
      </c>
      <c r="D5" s="8">
        <v>82</v>
      </c>
      <c r="E5" s="8">
        <v>90</v>
      </c>
      <c r="F5" s="8">
        <v>85</v>
      </c>
      <c r="G5" s="8">
        <v>89</v>
      </c>
      <c r="H5" s="8">
        <f t="shared" si="0"/>
        <v>434</v>
      </c>
      <c r="I5" s="9">
        <f t="shared" si="1"/>
        <v>0.86799999999999999</v>
      </c>
      <c r="J5" s="6" t="str">
        <f t="shared" si="2"/>
        <v>A</v>
      </c>
      <c r="K5" s="6" t="str">
        <f t="shared" si="3"/>
        <v>Pass</v>
      </c>
    </row>
    <row r="6" spans="1:11" ht="19.95" customHeight="1">
      <c r="A6" s="2">
        <v>105</v>
      </c>
      <c r="B6" s="3" t="s">
        <v>61</v>
      </c>
      <c r="C6" s="4">
        <v>75</v>
      </c>
      <c r="D6" s="4">
        <v>80</v>
      </c>
      <c r="E6" s="4">
        <v>68</v>
      </c>
      <c r="F6" s="4">
        <v>72</v>
      </c>
      <c r="G6" s="4">
        <v>78</v>
      </c>
      <c r="H6" s="4">
        <f t="shared" si="0"/>
        <v>373</v>
      </c>
      <c r="I6" s="5">
        <f t="shared" si="1"/>
        <v>0.746</v>
      </c>
      <c r="J6" s="2" t="str">
        <f t="shared" si="2"/>
        <v>B</v>
      </c>
      <c r="K6" s="2" t="str">
        <f t="shared" si="3"/>
        <v>Pass</v>
      </c>
    </row>
    <row r="7" spans="1:11" ht="19.95" customHeight="1">
      <c r="A7" s="6">
        <v>106</v>
      </c>
      <c r="B7" s="7" t="s">
        <v>62</v>
      </c>
      <c r="C7" s="8">
        <v>95</v>
      </c>
      <c r="D7" s="8">
        <v>98</v>
      </c>
      <c r="E7" s="8">
        <v>92</v>
      </c>
      <c r="F7" s="8">
        <v>96</v>
      </c>
      <c r="G7" s="8">
        <v>95</v>
      </c>
      <c r="H7" s="8">
        <f t="shared" si="0"/>
        <v>476</v>
      </c>
      <c r="I7" s="9">
        <f t="shared" si="1"/>
        <v>0.95199999999999996</v>
      </c>
      <c r="J7" s="6" t="str">
        <f t="shared" si="2"/>
        <v>A+</v>
      </c>
      <c r="K7" s="6" t="str">
        <f t="shared" si="3"/>
        <v>Pass</v>
      </c>
    </row>
    <row r="8" spans="1:11" ht="19.95" customHeight="1">
      <c r="A8" s="2">
        <v>107</v>
      </c>
      <c r="B8" s="3" t="s">
        <v>63</v>
      </c>
      <c r="C8" s="4">
        <v>60</v>
      </c>
      <c r="D8" s="4">
        <v>55</v>
      </c>
      <c r="E8" s="4">
        <v>65</v>
      </c>
      <c r="F8" s="4">
        <v>58</v>
      </c>
      <c r="G8" s="4">
        <v>62</v>
      </c>
      <c r="H8" s="4">
        <f t="shared" si="0"/>
        <v>300</v>
      </c>
      <c r="I8" s="5">
        <f t="shared" si="1"/>
        <v>0.6</v>
      </c>
      <c r="J8" s="2" t="str">
        <f t="shared" si="2"/>
        <v>C</v>
      </c>
      <c r="K8" s="2" t="str">
        <f t="shared" si="3"/>
        <v>Pass</v>
      </c>
    </row>
    <row r="9" spans="1:11" ht="19.95" customHeight="1">
      <c r="A9" s="6">
        <v>108</v>
      </c>
      <c r="B9" s="7" t="s">
        <v>64</v>
      </c>
      <c r="C9" s="8">
        <v>82</v>
      </c>
      <c r="D9" s="8">
        <v>85</v>
      </c>
      <c r="E9" s="8">
        <v>80</v>
      </c>
      <c r="F9" s="8">
        <v>84</v>
      </c>
      <c r="G9" s="8">
        <v>86</v>
      </c>
      <c r="H9" s="8">
        <f t="shared" si="0"/>
        <v>417</v>
      </c>
      <c r="I9" s="9">
        <f t="shared" si="1"/>
        <v>0.83399999999999996</v>
      </c>
      <c r="J9" s="6" t="str">
        <f t="shared" si="2"/>
        <v>A</v>
      </c>
      <c r="K9" s="6" t="str">
        <f t="shared" si="3"/>
        <v>Pass</v>
      </c>
    </row>
    <row r="10" spans="1:11" ht="19.95" customHeight="1">
      <c r="A10" s="2">
        <v>109</v>
      </c>
      <c r="B10" s="3" t="s">
        <v>65</v>
      </c>
      <c r="C10" s="4">
        <v>78</v>
      </c>
      <c r="D10" s="4">
        <v>72</v>
      </c>
      <c r="E10" s="4">
        <v>75</v>
      </c>
      <c r="F10" s="4">
        <v>80</v>
      </c>
      <c r="G10" s="4">
        <v>74</v>
      </c>
      <c r="H10" s="4">
        <f t="shared" si="0"/>
        <v>379</v>
      </c>
      <c r="I10" s="5">
        <f t="shared" si="1"/>
        <v>0.75800000000000001</v>
      </c>
      <c r="J10" s="2" t="str">
        <f t="shared" si="2"/>
        <v>B</v>
      </c>
      <c r="K10" s="2" t="str">
        <f t="shared" si="3"/>
        <v>Pass</v>
      </c>
    </row>
    <row r="11" spans="1:11" ht="19.95" customHeight="1">
      <c r="A11" s="6">
        <v>110</v>
      </c>
      <c r="B11" s="7" t="s">
        <v>66</v>
      </c>
      <c r="C11" s="8">
        <v>90</v>
      </c>
      <c r="D11" s="8">
        <v>88</v>
      </c>
      <c r="E11" s="8">
        <v>85</v>
      </c>
      <c r="F11" s="8">
        <v>92</v>
      </c>
      <c r="G11" s="8">
        <v>91</v>
      </c>
      <c r="H11" s="8">
        <f t="shared" si="0"/>
        <v>446</v>
      </c>
      <c r="I11" s="9">
        <f t="shared" si="1"/>
        <v>0.89200000000000002</v>
      </c>
      <c r="J11" s="6" t="str">
        <f t="shared" si="2"/>
        <v>A</v>
      </c>
      <c r="K11" s="6" t="str">
        <f t="shared" si="3"/>
        <v>Pass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6" sqref="A6"/>
    </sheetView>
  </sheetViews>
  <sheetFormatPr defaultRowHeight="14.4"/>
  <cols>
    <col min="1" max="1" width="20" customWidth="1"/>
    <col min="2" max="2" width="52" customWidth="1"/>
  </cols>
  <sheetData>
    <row r="1" spans="1:2">
      <c r="A1" s="10" t="s">
        <v>6</v>
      </c>
      <c r="B1" s="10" t="s">
        <v>7</v>
      </c>
    </row>
    <row r="2" spans="1:2">
      <c r="A2" t="s">
        <v>67</v>
      </c>
      <c r="B2">
        <f>AVERAGE('Student Performance'!C2:C11)</f>
        <v>81.5</v>
      </c>
    </row>
    <row r="3" spans="1:2">
      <c r="A3" t="s">
        <v>68</v>
      </c>
      <c r="B3">
        <f>AVERAGE('Student Performance'!D2:D11)</f>
        <v>81</v>
      </c>
    </row>
    <row r="4" spans="1:2">
      <c r="A4" t="s">
        <v>69</v>
      </c>
      <c r="B4">
        <f>AVERAGE('Student Performance'!E2:E11)</f>
        <v>79.3</v>
      </c>
    </row>
    <row r="5" spans="1:2">
      <c r="A5" t="s">
        <v>72</v>
      </c>
      <c r="B5">
        <f>AVERAGE('Student Performance'!F2:F11)</f>
        <v>81.7</v>
      </c>
    </row>
    <row r="6" spans="1:2">
      <c r="A6" t="s">
        <v>71</v>
      </c>
      <c r="B6">
        <f>AVERAGE('Student Performance'!G2:G11)</f>
        <v>83.2</v>
      </c>
    </row>
    <row r="7" spans="1:2">
      <c r="A7" s="10" t="s">
        <v>4</v>
      </c>
      <c r="B7" s="10" t="s">
        <v>8</v>
      </c>
    </row>
    <row r="8" spans="1:2">
      <c r="A8" t="s">
        <v>9</v>
      </c>
      <c r="B8">
        <f>COUNTIF('Student Performance'!$J$2:$J$11, "A+")</f>
        <v>2</v>
      </c>
    </row>
    <row r="9" spans="1:2">
      <c r="A9" t="s">
        <v>10</v>
      </c>
      <c r="B9">
        <f>COUNTIF('Student Performance'!$J$2:$J$11, "A")</f>
        <v>4</v>
      </c>
    </row>
    <row r="10" spans="1:2">
      <c r="A10" t="s">
        <v>11</v>
      </c>
      <c r="B10">
        <f>COUNTIF('Student Performance'!$J$2:$J$11, "B")</f>
        <v>3</v>
      </c>
    </row>
    <row r="11" spans="1:2">
      <c r="A11" t="s">
        <v>12</v>
      </c>
      <c r="B11">
        <f>COUNTIF('Student Performance'!$J$2:$J$11, "C")</f>
        <v>1</v>
      </c>
    </row>
    <row r="12" spans="1:2">
      <c r="A12" t="s">
        <v>13</v>
      </c>
      <c r="B12">
        <f>COUNTIF('Student Performance'!$J$2:$J$11, "D")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4.4"/>
  <cols>
    <col min="1" max="1" width="12" customWidth="1"/>
    <col min="2" max="2" width="41" customWidth="1"/>
    <col min="3" max="4" width="12" customWidth="1"/>
    <col min="5" max="5" width="42" customWidth="1"/>
    <col min="6" max="7" width="12" customWidth="1"/>
    <col min="8" max="8" width="87" customWidth="1"/>
    <col min="9" max="9" width="12" customWidth="1"/>
  </cols>
  <sheetData>
    <row r="1" spans="1:9" ht="21">
      <c r="A1" s="11" t="s">
        <v>14</v>
      </c>
    </row>
    <row r="2" spans="1:9">
      <c r="A2" s="12" t="s">
        <v>15</v>
      </c>
    </row>
    <row r="4" spans="1:9">
      <c r="B4" s="16" t="s">
        <v>16</v>
      </c>
      <c r="C4" s="17"/>
      <c r="E4" s="16" t="s">
        <v>17</v>
      </c>
      <c r="F4" s="17"/>
      <c r="H4" s="16" t="s">
        <v>18</v>
      </c>
      <c r="I4" s="17"/>
    </row>
    <row r="5" spans="1:9" ht="21">
      <c r="B5" s="18">
        <f>COUNTA('Student Performance'!A2:A11)</f>
        <v>10</v>
      </c>
      <c r="C5" s="17"/>
      <c r="E5" s="19">
        <f>AVERAGE('Student Performance'!I2:I11)</f>
        <v>0.8133999999999999</v>
      </c>
      <c r="F5" s="17"/>
      <c r="H5" s="19">
        <f>COUNTIF('Student Performance'!K2:K11, "Pass")/COUNTA('Student Performance'!K2:K11)</f>
        <v>1</v>
      </c>
      <c r="I5" s="17"/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/>
  <cols>
    <col min="1" max="1" width="28" customWidth="1"/>
    <col min="2" max="2" width="65" customWidth="1"/>
  </cols>
  <sheetData>
    <row r="1" spans="1:2" ht="21">
      <c r="A1" s="11" t="s">
        <v>19</v>
      </c>
    </row>
    <row r="2" spans="1:2">
      <c r="A2" s="12" t="s">
        <v>20</v>
      </c>
    </row>
    <row r="4" spans="1:2">
      <c r="A4" s="10" t="s">
        <v>21</v>
      </c>
      <c r="B4" s="10" t="s">
        <v>22</v>
      </c>
    </row>
    <row r="5" spans="1:2" ht="28.05" customHeight="1">
      <c r="A5" s="13" t="s">
        <v>23</v>
      </c>
      <c r="B5" s="14" t="s">
        <v>24</v>
      </c>
    </row>
    <row r="6" spans="1:2" ht="28.05" customHeight="1">
      <c r="A6" s="13" t="s">
        <v>25</v>
      </c>
      <c r="B6" s="14" t="s">
        <v>26</v>
      </c>
    </row>
    <row r="7" spans="1:2" ht="28.05" customHeight="1">
      <c r="A7" s="13" t="s">
        <v>27</v>
      </c>
      <c r="B7" s="14" t="s">
        <v>28</v>
      </c>
    </row>
    <row r="8" spans="1:2" ht="28.05" customHeight="1">
      <c r="A8" s="13" t="s">
        <v>29</v>
      </c>
      <c r="B8" s="14" t="s">
        <v>30</v>
      </c>
    </row>
    <row r="9" spans="1:2" ht="28.05" customHeight="1">
      <c r="A9" s="13" t="s">
        <v>31</v>
      </c>
      <c r="B9" s="14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/>
  <cols>
    <col min="1" max="1" width="12" customWidth="1"/>
    <col min="2" max="2" width="42" customWidth="1"/>
    <col min="3" max="3" width="17" customWidth="1"/>
    <col min="4" max="4" width="13" customWidth="1"/>
    <col min="5" max="5" width="15" customWidth="1"/>
  </cols>
  <sheetData>
    <row r="1" spans="1:5" ht="21">
      <c r="A1" s="11" t="s">
        <v>33</v>
      </c>
    </row>
    <row r="2" spans="1:5">
      <c r="A2" s="12" t="s">
        <v>34</v>
      </c>
    </row>
    <row r="4" spans="1:5" ht="25.95" customHeight="1">
      <c r="A4" s="15" t="s">
        <v>35</v>
      </c>
      <c r="B4" s="15" t="s">
        <v>36</v>
      </c>
      <c r="C4" s="15" t="s">
        <v>37</v>
      </c>
      <c r="D4" s="15" t="s">
        <v>38</v>
      </c>
      <c r="E4" s="15" t="s">
        <v>39</v>
      </c>
    </row>
    <row r="5" spans="1:5" ht="22.05" customHeight="1">
      <c r="A5" s="6">
        <v>1</v>
      </c>
      <c r="B5" s="7" t="s">
        <v>40</v>
      </c>
      <c r="C5" s="6" t="s">
        <v>41</v>
      </c>
      <c r="D5" s="6" t="s">
        <v>42</v>
      </c>
      <c r="E5" s="6" t="s">
        <v>43</v>
      </c>
    </row>
    <row r="6" spans="1:5" ht="22.05" customHeight="1">
      <c r="A6" s="2">
        <v>2</v>
      </c>
      <c r="B6" s="3" t="s">
        <v>44</v>
      </c>
      <c r="C6" s="2" t="s">
        <v>45</v>
      </c>
      <c r="D6" s="2" t="s">
        <v>46</v>
      </c>
      <c r="E6" s="2" t="s">
        <v>43</v>
      </c>
    </row>
    <row r="7" spans="1:5" ht="22.05" customHeight="1">
      <c r="A7" s="6">
        <v>3</v>
      </c>
      <c r="B7" s="7" t="s">
        <v>47</v>
      </c>
      <c r="C7" s="6" t="s">
        <v>48</v>
      </c>
      <c r="D7" s="6" t="s">
        <v>46</v>
      </c>
      <c r="E7" s="6" t="s">
        <v>43</v>
      </c>
    </row>
    <row r="8" spans="1:5" ht="22.05" customHeight="1">
      <c r="A8" s="2">
        <v>4</v>
      </c>
      <c r="B8" s="3" t="s">
        <v>49</v>
      </c>
      <c r="C8" s="2" t="s">
        <v>41</v>
      </c>
      <c r="D8" s="2" t="s">
        <v>50</v>
      </c>
      <c r="E8" s="2" t="s">
        <v>51</v>
      </c>
    </row>
    <row r="9" spans="1:5" ht="22.05" customHeight="1">
      <c r="A9" s="6">
        <v>5</v>
      </c>
      <c r="B9" s="7" t="s">
        <v>52</v>
      </c>
      <c r="C9" s="6" t="s">
        <v>48</v>
      </c>
      <c r="D9" s="6" t="s">
        <v>42</v>
      </c>
      <c r="E9" s="6" t="s">
        <v>53</v>
      </c>
    </row>
    <row r="10" spans="1:5" ht="22.05" customHeight="1">
      <c r="A10" s="2">
        <v>6</v>
      </c>
      <c r="B10" s="3" t="s">
        <v>54</v>
      </c>
      <c r="C10" s="2" t="s">
        <v>48</v>
      </c>
      <c r="D10" s="2" t="s">
        <v>46</v>
      </c>
      <c r="E10" s="2" t="s">
        <v>53</v>
      </c>
    </row>
    <row r="11" spans="1:5" ht="22.05" customHeight="1">
      <c r="A11" s="6">
        <v>7</v>
      </c>
      <c r="B11" s="7" t="s">
        <v>55</v>
      </c>
      <c r="C11" s="6" t="s">
        <v>56</v>
      </c>
      <c r="D11" s="6" t="s">
        <v>46</v>
      </c>
      <c r="E11" s="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Performance</vt:lpstr>
      <vt:lpstr>Summary Data</vt:lpstr>
      <vt:lpstr>Dashboard</vt:lpstr>
      <vt:lpstr>Instructions</vt:lpstr>
      <vt:lpstr>Task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Prajapati</cp:lastModifiedBy>
  <dcterms:created xsi:type="dcterms:W3CDTF">2026-10-13T05:52:32Z</dcterms:created>
  <dcterms:modified xsi:type="dcterms:W3CDTF">2026-10-13T06:08:12Z</dcterms:modified>
</cp:coreProperties>
</file>